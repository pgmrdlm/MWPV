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gmrd\My Drive\MWPV\MWPV\Notes and Documentation\"/>
    </mc:Choice>
  </mc:AlternateContent>
  <xr:revisionPtr revIDLastSave="0" documentId="13_ncr:1_{70804657-0E96-43E3-96FC-93EE319645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Task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3" i="1" l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<sst xmlns="http://schemas.openxmlformats.org/spreadsheetml/2006/main" count="206" uniqueCount="123">
  <si>
    <t>Task</t>
  </si>
  <si>
    <t>Status</t>
  </si>
  <si>
    <t>Date Added</t>
  </si>
  <si>
    <t>Date Started</t>
  </si>
  <si>
    <t>Date Completed</t>
  </si>
  <si>
    <t>Notes</t>
  </si>
  <si>
    <t>Phase</t>
  </si>
  <si>
    <t>Task Start Date</t>
  </si>
  <si>
    <t>Dev Priority</t>
  </si>
  <si>
    <t>Add datastore Clear() overload fix</t>
  </si>
  <si>
    <t>Resolve error preventing class overload for Clear method</t>
  </si>
  <si>
    <t>Development</t>
  </si>
  <si>
    <t>Next</t>
  </si>
  <si>
    <t>Change DB password handling.  Review of the password generator</t>
  </si>
  <si>
    <t>Refactor to avoid writing plaintext password to file; use memory until encrypted</t>
  </si>
  <si>
    <t>Common password method (generation &amp; reveal-once)</t>
  </si>
  <si>
    <t>Generator returns char[] only; enforce policy; reveal-once creates short-lived string for UI/copy then wipes. No plaintext bindings; clipboard warning.</t>
  </si>
  <si>
    <t>Early-logs pipeline (DPAPI .elog deferred inserts)</t>
  </si>
  <si>
    <t>Pre-login: write DPAPI-encrypted files containing parameterized INSERT templates (no plaintext payloads). On first successful login: decrypt, build JSON, encrypt with LogPayloadKey, bind params, execute via normal insert helper, batch per file. Quarantine on failure; secure-delete on success. Optional dedupe via LogGuid or hash of (CreatedUtc, EventCode, StackHash, SessionId).</t>
  </si>
  <si>
    <t>Finalize logging table schema</t>
  </si>
  <si>
    <t>Ensure all necessary columns and info are included
Goal:
Implement encrypted logging stored directly in the secure SQLCipher database, avoiding external log files.
Criteria:
- Dedicated `Logs` table in the encrypted DB with columns:
    Id (PK), Timestamp, Level, EventId, Area, Message, Tags.
- All inserts go directly to the encrypted DB; no plaintext logs on disk.
- Rotation handled via SQL (DELETE rows older than N days or exceeding N rows).
- Logging disabled by default; enable through in-memory flag or encrypted config.
- Optional export tool (dev-only) can SELECT from table and save to decrypted JSON or CSV.
- Encrypted DB provides confidentiality; no separate AES encryption layer needed for log entries.
Status: Pending.</t>
  </si>
  <si>
    <t>Flip logging to LogPayloadKey</t>
  </si>
  <si>
    <t>Update encrypt/decrypt to pull LogPayloadKey from SecureEncryptedDataStore. Set PayloadFmt='json+aesgcm', PayloadVer=1, KeySetVersion=1. Maintain read support for any older machine-bound entries temporarily.</t>
  </si>
  <si>
    <t>Key provisioning component (DbPassword, LogPayloadKey, UserSecretsKey)</t>
  </si>
  <si>
    <t>Create-if-missing and load into SecureEncryptedDataStore at startup; wipe temp buffers on all paths. No machine-binding. Integrate One-call Initialize().</t>
  </si>
  <si>
    <t>Logs schema update (DROP+CREATE)</t>
  </si>
  <si>
    <t>Logs(Id PK, CreatedUtc INTEGER, Level CHECK, Source, EventCode, CorrelationId, SessionId, MachineId, AppVersion, IsCrash, Payload BLOB, PayloadFmt TEXT, PayloadVer INT, KeySetVersion INT, StackHash, Reserved1, Reserved2). Indexes on CreatedUtc, (Level,CreatedUtc), (EventCode,CreatedUtc), (SessionId,CreatedUtc), (IsCrash,CreatedUtc).</t>
  </si>
  <si>
    <t>Prep logging SQL scripts (no hardcoded SQL)</t>
  </si>
  <si>
    <t>Move all logging SQL into individual .sql files stored in encrypted 7z. Load via SecureEncryptedDataStore at runtime. Include flip-on scripts.</t>
  </si>
  <si>
    <t>Secure string handling improvements</t>
  </si>
  <si>
    <t>Harden all string wipes using cryptographic RNG</t>
  </si>
  <si>
    <t>Test export logic from encrypted DB</t>
  </si>
  <si>
    <t>Validate the export of the encrypted database tables before proceeding with other DB-related tasks.
Goal:
Enable a DEBUG-only hotkey to export encrypted DB without creating plaintext copies.
Criteria:
- Hotkey works only in DEBUG build (e.g., Ctrl+Alt+I).
- Export directory auto-created: %LOCALAPPDATA%\MWPV\DebugExports\{yyyyMMdd-HHmm}.
- DB copied as-is (encrypted) or packaged in password-protected 7z.
- Manifest.json includes timestamp, version, schema version, file hash (no secrets).
- Any generated passwords handled as char[], wiped after use.
- No temp plaintext files; zero File.WriteAllText for sensitive data.
Status: Pending.</t>
  </si>
  <si>
    <t>Add Category UI redesign (inline overlay)</t>
  </si>
  <si>
    <t>Remove extra window; inline overlay in main panel. Duplicate validation in VM; data refresh unified. Sensitive inputs as char[]; wipe on cancel/save.</t>
  </si>
  <si>
    <t>Soon</t>
  </si>
  <si>
    <t>Memory Tracking &amp; Shutdown Cleanup (planning)</t>
  </si>
  <si>
    <t>Design centralized memory tracker (register, wipe by label/category, wipe all). Plan normal and abnormal shutdown wipe sequences; integrate with SecureEncryptedDataStore.</t>
  </si>
  <si>
    <t>Review main password entry/creation UI (visual + security)</t>
  </si>
  <si>
    <t>Fix spacing, alignment, visual hierarchy; ensure secure handling (no plaintext leaks). Make consistent with Add Category UI.</t>
  </si>
  <si>
    <t>CategoryItemService planning</t>
  </si>
  <si>
    <t>Service boundary for Category Item CRUD; uses vw_CurrentPassword/vw_CurrentPin; all secrets as BLOBs with envelope; no plaintext bindings.</t>
  </si>
  <si>
    <t>Later</t>
  </si>
  <si>
    <t>Change Add Category method to overlay category list instead of separate UI</t>
  </si>
  <si>
    <t>Overlay appears when Add Category button is clicked; disappears when complete to reveal category list.
Goal:
Implement inline category add overlay, integrated with current data refresh logic.
Criteria:
- XAML overlay visibility bound to VM property (IsAddingCategory).
- Duplicate category validation in VM with error feedback.
- On save: add via service → panel updates source list → UI refresh.
- Sensitive inputs handled with char[]; wiped on cancel/save.
Status: Pending.</t>
  </si>
  <si>
    <t>Design Category Item DataGrid for both editing existing items and creating new items</t>
  </si>
  <si>
    <t>Investigate whether to use the same DataGrid with logic to switch modes (edit vs. new) or separate grids for each. Decision required before implementation.</t>
  </si>
  <si>
    <t>Design Category Item List Grid with buttons to open detail Category Item grid</t>
  </si>
  <si>
    <t>Grid mimics Category Grid layout but lists Category Items. Each row has a button to open the Category Item Detail DataGrid. Requires binding to results from the Category Item table.</t>
  </si>
  <si>
    <t>Show selected category label on right-hand side before Add Category Item button</t>
  </si>
  <si>
    <t>Clicking a category button displays the category name as a label on the right side before the Add Category Item button. Requires binding.</t>
  </si>
  <si>
    <t>Weekly review &amp; diagrams (Sunday)</t>
  </si>
  <si>
    <t>Review tasks, schema, and security decisions; update master and daily lists. Regenerate big-picture diagrams (Setup, Category, CategoryItem) and security call map.</t>
  </si>
  <si>
    <t>Recurring</t>
  </si>
  <si>
    <t>1. Backend Code Documentation Plan (XML Comments)</t>
  </si>
  <si>
    <t>Documentation</t>
  </si>
  <si>
    <t>1. Deployment Phase Planning</t>
  </si>
  <si>
    <t>Deployment</t>
  </si>
  <si>
    <t>1. Secure Memory Tracker</t>
  </si>
  <si>
    <t>End-of-Dev</t>
  </si>
  <si>
    <t>1.1 Prepare Final Installer</t>
  </si>
  <si>
    <t>1.2 Code Signing</t>
  </si>
  <si>
    <t>1.3 Build Download Web Page</t>
  </si>
  <si>
    <t>1.4 Publish to Web</t>
  </si>
  <si>
    <t>2. Feature Parking Lot (Future Enhancements)</t>
  </si>
  <si>
    <t>2. Normal / Abnormal Shutdown Cleanup</t>
  </si>
  <si>
    <t>2. User-Level Documentation Plan</t>
  </si>
  <si>
    <t>3. Inline Add Category UI Refactor</t>
  </si>
  <si>
    <t>3. Secure Config File in Encrypted Key Archive</t>
  </si>
  <si>
    <t>4. Category Button Interaction Behavior</t>
  </si>
  <si>
    <t>Abnormal Shutdown Tasks:</t>
  </si>
  <si>
    <t>Add Secure memory tracker and code to clear all secure memory items on exit</t>
  </si>
  <si>
    <t>Goal:
Central registry to track/wipe sensitive buffers on demand for reuse in Security.Utility.dll.
Criteria:
- API supports: Register(buffer, label, category), TryWipe(label/category), WipeAll().
- Supports char[], byte[], SecureString.
- Uses WeakReference to avoid extending object lifetimes.
- Integration points: KeyPW, DB_Password, temp decrypt buffers.
Status: Pending / optional.
Goal:
Ensure complete cleanup of sensitive data on both graceful and unexpected termination.
Criteria:
- Hooks in App.OnExit, Window.Closing, ProcessExit, UnhandledException.
- Sequence: wipe UI controls, call SecureMemoryTracker.WipeAll(), close DB, flush logs.
- Failsafe timer triggers wipe if main thread hangs.
- Works when app is killed from Task Manager (within ProcessExit limits).
Status: Pending.</t>
  </si>
  <si>
    <t>Additional Notes / Future Enhancements</t>
  </si>
  <si>
    <t>Change Process:</t>
  </si>
  <si>
    <t>Examples of Stored Configs:</t>
  </si>
  <si>
    <t>File Format:</t>
  </si>
  <si>
    <t>Finalize Logging code changes to helper file</t>
  </si>
  <si>
    <t>(Same criteria as 'Finalize logging table schema' — ensure helper integration matches schema and security rules.)</t>
  </si>
  <si>
    <t>Goal:</t>
  </si>
  <si>
    <t>Implement a centralized memory tracking system to register and monitor sensitive variables in memory during the application session.</t>
  </si>
  <si>
    <t>Ensure complete cleanup of sensitive data during all types of shutdown (normal, crash, or forced exit).</t>
  </si>
  <si>
    <t>Centralize all configurable app settings within the encrypted `.7z` archive (key file), ensuring tamper resistance and confidentiality.</t>
  </si>
  <si>
    <t>Implementation Ideas:</t>
  </si>
  <si>
    <t>Key Features:</t>
  </si>
  <si>
    <t>Normal Shutdown Tasks:</t>
  </si>
  <si>
    <t>Security Features:</t>
  </si>
  <si>
    <t>Trigger Locations:</t>
  </si>
  <si>
    <t>• Add hash/signature to config to detect tampering</t>
  </si>
  <si>
    <t>• Allow user to adjust config values from within MWPV UI</t>
  </si>
  <si>
    <t>• App.OnExit() override</t>
  </si>
  <si>
    <t>• Central WipeAll() method at shutdown.</t>
  </si>
  <si>
    <t>• Clear all registered sensitive entries from memory tracker.</t>
  </si>
  <si>
    <t>• ClipboardClearDelay: seconds</t>
  </si>
  <si>
    <t>• DispatcherUnhandledException for WPF crashes</t>
  </si>
  <si>
    <t>• Display full error dialog with stack trace (not just MessageBox).</t>
  </si>
  <si>
    <t>• Global try/catch wrapping MainWindow execution</t>
  </si>
  <si>
    <t>• Implement app-level lock screen triggered by inactivity</t>
  </si>
  <si>
    <t>• Implement catch-all exception handling.</t>
  </si>
  <si>
    <t>• InactivityTimeoutSeconds (e.g., 300)</t>
  </si>
  <si>
    <t>• JSON file (e.g., AppSettings.config.json)</t>
  </si>
  <si>
    <t>• Load, deserialize, and edit in app</t>
  </si>
  <si>
    <t>• LockOnMinimize: true/false</t>
  </si>
  <si>
    <t>• Only loaded during session</t>
  </si>
  <si>
    <t>• Optional: Auto-expiry of memory entries after elapsed time.</t>
  </si>
  <si>
    <t>• Optionally log error in encrypted format.</t>
  </si>
  <si>
    <t>• Optionally require Windows Hello for modifying config</t>
  </si>
  <si>
    <t>• Optionally version config files</t>
  </si>
  <si>
    <t>• Rebuild and overwrite key.7z file with updated config</t>
  </si>
  <si>
    <t>• Register all sensitive values (e.g., passwords, keys, decrypted values).</t>
  </si>
  <si>
    <t>• Securely delete any decrypted temp files.</t>
  </si>
  <si>
    <t>• Skins: background color, button style</t>
  </si>
  <si>
    <t>• Store references in a centralized SecureMemoryTracker class.</t>
  </si>
  <si>
    <t>Security Closeout Set</t>
  </si>
  <si>
    <t>• Stored inside encrypted archive</t>
  </si>
  <si>
    <t>• Support categorization (e.g., SessionBound, TempOnly).</t>
  </si>
  <si>
    <t>• Tag variables with metadata like purpose or expiration.</t>
  </si>
  <si>
    <t>• Use WeakReference&lt;T&gt; or a secure dictionary.</t>
  </si>
  <si>
    <t>• Use Windows Hello to authenticate config changes</t>
  </si>
  <si>
    <t>• Wipe DB password and any decrypted SQL.</t>
  </si>
  <si>
    <t>• Wipe all registered data during normal or abnormal shutdown.</t>
  </si>
  <si>
    <t>• Wipe config from memory after use</t>
  </si>
  <si>
    <t>• Wipe sensitive memory and call shutdown cleanup logic.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</si>
</sst>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workbookViewId="0">
      <selection activeCell="D6" sqref="D6"/>
    </sheetView>
  </sheetViews>
  <sheetFormatPr defaultRowHeight="14.5" x14ac:dyDescent="0.35"/>
  <cols>
    <col min="1" max="1" width="72.54296875" bestFit="1" customWidth="1"/>
    <col min="2" max="2" width="8.81640625" bestFit="1" customWidth="1"/>
    <col min="3" max="5" width="17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tr">
        <f t="shared" ref="B2:B33" si="0">IF(NOT(ISBLANK(E2)),"Complete",IF(NOT(ISBLANK(D2)),"Active","Pending"))</f>
        <v>Pending</v>
      </c>
      <c r="C2" s="2">
        <v>45876.975694444453</v>
      </c>
      <c r="F2" t="s">
        <v>10</v>
      </c>
      <c r="G2" t="s">
        <v>11</v>
      </c>
      <c r="I2" t="s">
        <v>12</v>
      </c>
    </row>
    <row r="3" spans="1:9" x14ac:dyDescent="0.35">
      <c r="A3" t="s">
        <v>13</v>
      </c>
      <c r="B3" t="str">
        <f t="shared" si="0"/>
        <v>Complete</v>
      </c>
      <c r="C3" s="2">
        <v>45876.975694444453</v>
      </c>
      <c r="E3" s="2">
        <v>45877</v>
      </c>
      <c r="F3" t="s">
        <v>14</v>
      </c>
      <c r="G3" t="s">
        <v>11</v>
      </c>
      <c r="I3" t="s">
        <v>12</v>
      </c>
    </row>
    <row r="4" spans="1:9" x14ac:dyDescent="0.35">
      <c r="A4" t="s">
        <v>15</v>
      </c>
      <c r="B4" t="str">
        <f t="shared" si="0"/>
        <v>Pending</v>
      </c>
      <c r="C4" s="2">
        <v>45879.942556828697</v>
      </c>
      <c r="F4" t="s">
        <v>16</v>
      </c>
      <c r="I4" t="s">
        <v>12</v>
      </c>
    </row>
    <row r="5" spans="1:9" x14ac:dyDescent="0.35">
      <c r="A5" t="s">
        <v>17</v>
      </c>
      <c r="B5" t="str">
        <f t="shared" si="0"/>
        <v>Active</v>
      </c>
      <c r="C5" s="2">
        <v>45879.942556805552</v>
      </c>
      <c r="D5" s="3">
        <v>45879</v>
      </c>
      <c r="F5" t="s">
        <v>18</v>
      </c>
      <c r="I5" t="s">
        <v>12</v>
      </c>
    </row>
    <row r="6" spans="1:9" x14ac:dyDescent="0.35">
      <c r="A6" t="s">
        <v>19</v>
      </c>
      <c r="B6" t="str">
        <f t="shared" si="0"/>
        <v>Complete</v>
      </c>
      <c r="C6" s="2">
        <v>45876.975694444453</v>
      </c>
      <c r="D6" s="2">
        <v>45879</v>
      </c>
      <c r="E6" s="2">
        <v>45878</v>
      </c>
      <c r="F6" t="s">
        <v>20</v>
      </c>
      <c r="G6" t="s">
        <v>11</v>
      </c>
      <c r="I6" t="s">
        <v>12</v>
      </c>
    </row>
    <row r="7" spans="1:9" x14ac:dyDescent="0.35">
      <c r="A7" t="s">
        <v>21</v>
      </c>
      <c r="B7" t="str">
        <f t="shared" si="0"/>
        <v>Pending</v>
      </c>
      <c r="C7" s="2">
        <v>45879.94255673611</v>
      </c>
      <c r="F7" t="s">
        <v>22</v>
      </c>
      <c r="I7" t="s">
        <v>12</v>
      </c>
    </row>
    <row r="8" spans="1:9" x14ac:dyDescent="0.35">
      <c r="A8" t="s">
        <v>23</v>
      </c>
      <c r="B8" t="str">
        <f t="shared" si="0"/>
        <v>Pending</v>
      </c>
      <c r="C8" s="2">
        <v>45879.942556666669</v>
      </c>
      <c r="F8" t="s">
        <v>24</v>
      </c>
      <c r="I8" t="s">
        <v>12</v>
      </c>
    </row>
    <row r="9" spans="1:9" x14ac:dyDescent="0.35">
      <c r="A9" t="s">
        <v>25</v>
      </c>
      <c r="B9" t="str">
        <f t="shared" si="0"/>
        <v>Pending</v>
      </c>
      <c r="C9" s="2">
        <v>45879.942556770831</v>
      </c>
      <c r="F9" t="s">
        <v>26</v>
      </c>
      <c r="I9" t="s">
        <v>12</v>
      </c>
    </row>
    <row r="10" spans="1:9" x14ac:dyDescent="0.35">
      <c r="A10" t="s">
        <v>27</v>
      </c>
      <c r="B10" t="str">
        <f t="shared" si="0"/>
        <v>Pending</v>
      </c>
      <c r="C10" s="2">
        <v>45879.942556712973</v>
      </c>
      <c r="F10" t="s">
        <v>28</v>
      </c>
      <c r="I10" t="s">
        <v>12</v>
      </c>
    </row>
    <row r="11" spans="1:9" x14ac:dyDescent="0.35">
      <c r="A11" t="s">
        <v>29</v>
      </c>
      <c r="B11" t="str">
        <f t="shared" si="0"/>
        <v>Complete</v>
      </c>
      <c r="C11" s="2">
        <v>45876.975694444453</v>
      </c>
      <c r="E11" s="2">
        <v>45877</v>
      </c>
      <c r="F11" t="s">
        <v>30</v>
      </c>
      <c r="G11" t="s">
        <v>11</v>
      </c>
      <c r="I11" t="s">
        <v>12</v>
      </c>
    </row>
    <row r="12" spans="1:9" x14ac:dyDescent="0.35">
      <c r="A12" t="s">
        <v>31</v>
      </c>
      <c r="B12" t="str">
        <f t="shared" si="0"/>
        <v>Complete</v>
      </c>
      <c r="C12" s="2">
        <v>45876</v>
      </c>
      <c r="D12" s="2">
        <v>45878</v>
      </c>
      <c r="E12" s="2">
        <v>45878</v>
      </c>
      <c r="F12" t="s">
        <v>32</v>
      </c>
      <c r="G12" t="s">
        <v>11</v>
      </c>
      <c r="I12" t="s">
        <v>12</v>
      </c>
    </row>
    <row r="13" spans="1:9" x14ac:dyDescent="0.35">
      <c r="A13" t="s">
        <v>33</v>
      </c>
      <c r="B13" t="str">
        <f t="shared" si="0"/>
        <v>Pending</v>
      </c>
      <c r="C13" s="2">
        <v>45879.942557222217</v>
      </c>
      <c r="F13" t="s">
        <v>34</v>
      </c>
      <c r="I13" t="s">
        <v>35</v>
      </c>
    </row>
    <row r="14" spans="1:9" x14ac:dyDescent="0.35">
      <c r="A14" t="s">
        <v>36</v>
      </c>
      <c r="B14" t="str">
        <f t="shared" si="0"/>
        <v>Pending</v>
      </c>
      <c r="C14" s="2">
        <v>45879.942556851849</v>
      </c>
      <c r="F14" t="s">
        <v>37</v>
      </c>
      <c r="I14" t="s">
        <v>35</v>
      </c>
    </row>
    <row r="15" spans="1:9" x14ac:dyDescent="0.35">
      <c r="A15" t="s">
        <v>38</v>
      </c>
      <c r="B15" t="str">
        <f t="shared" si="0"/>
        <v>Pending</v>
      </c>
      <c r="C15" s="2">
        <v>45879.942557256953</v>
      </c>
      <c r="F15" t="s">
        <v>39</v>
      </c>
      <c r="I15" t="s">
        <v>35</v>
      </c>
    </row>
    <row r="16" spans="1:9" x14ac:dyDescent="0.35">
      <c r="A16" t="s">
        <v>40</v>
      </c>
      <c r="B16" t="str">
        <f t="shared" si="0"/>
        <v>Pending</v>
      </c>
      <c r="C16" s="2">
        <v>45879.94255728009</v>
      </c>
      <c r="F16" t="s">
        <v>41</v>
      </c>
      <c r="I16" t="s">
        <v>42</v>
      </c>
    </row>
    <row r="17" spans="1:9" x14ac:dyDescent="0.35">
      <c r="A17" t="s">
        <v>43</v>
      </c>
      <c r="B17" t="str">
        <f t="shared" si="0"/>
        <v>Pending</v>
      </c>
      <c r="C17" s="2">
        <v>45876</v>
      </c>
      <c r="F17" t="s">
        <v>44</v>
      </c>
      <c r="G17" t="s">
        <v>11</v>
      </c>
      <c r="I17" t="s">
        <v>42</v>
      </c>
    </row>
    <row r="18" spans="1:9" x14ac:dyDescent="0.35">
      <c r="A18" t="s">
        <v>45</v>
      </c>
      <c r="B18" t="str">
        <f t="shared" si="0"/>
        <v>Pending</v>
      </c>
      <c r="C18" s="2">
        <v>45876</v>
      </c>
      <c r="F18" t="s">
        <v>46</v>
      </c>
      <c r="G18" t="s">
        <v>11</v>
      </c>
      <c r="I18" t="s">
        <v>42</v>
      </c>
    </row>
    <row r="19" spans="1:9" x14ac:dyDescent="0.35">
      <c r="A19" t="s">
        <v>47</v>
      </c>
      <c r="B19" t="str">
        <f t="shared" si="0"/>
        <v>Pending</v>
      </c>
      <c r="C19" s="2">
        <v>45876</v>
      </c>
      <c r="F19" t="s">
        <v>48</v>
      </c>
      <c r="G19" t="s">
        <v>11</v>
      </c>
      <c r="I19" t="s">
        <v>42</v>
      </c>
    </row>
    <row r="20" spans="1:9" x14ac:dyDescent="0.35">
      <c r="A20" t="s">
        <v>49</v>
      </c>
      <c r="B20" t="str">
        <f t="shared" si="0"/>
        <v>Pending</v>
      </c>
      <c r="C20" s="2">
        <v>45876</v>
      </c>
      <c r="F20" t="s">
        <v>50</v>
      </c>
      <c r="G20" t="s">
        <v>11</v>
      </c>
      <c r="I20" t="s">
        <v>42</v>
      </c>
    </row>
    <row r="21" spans="1:9" x14ac:dyDescent="0.35">
      <c r="A21" t="s">
        <v>51</v>
      </c>
      <c r="B21" t="str">
        <f t="shared" si="0"/>
        <v>Pending</v>
      </c>
      <c r="C21" s="2">
        <v>45879.942557303242</v>
      </c>
      <c r="F21" t="s">
        <v>52</v>
      </c>
      <c r="I21" t="s">
        <v>53</v>
      </c>
    </row>
    <row r="22" spans="1:9" x14ac:dyDescent="0.35">
      <c r="A22" t="s">
        <v>54</v>
      </c>
      <c r="B22" t="str">
        <f t="shared" si="0"/>
        <v>Pending</v>
      </c>
      <c r="C22" s="2">
        <v>45876</v>
      </c>
      <c r="G22" t="s">
        <v>55</v>
      </c>
    </row>
    <row r="23" spans="1:9" x14ac:dyDescent="0.35">
      <c r="A23" t="s">
        <v>56</v>
      </c>
      <c r="B23" t="str">
        <f t="shared" si="0"/>
        <v>Pending</v>
      </c>
      <c r="C23" s="2">
        <v>45876</v>
      </c>
      <c r="G23" t="s">
        <v>57</v>
      </c>
    </row>
    <row r="24" spans="1:9" x14ac:dyDescent="0.35">
      <c r="A24" t="s">
        <v>58</v>
      </c>
      <c r="B24" t="str">
        <f t="shared" si="0"/>
        <v>Pending</v>
      </c>
      <c r="C24" s="2">
        <v>45876</v>
      </c>
      <c r="G24" t="s">
        <v>59</v>
      </c>
    </row>
    <row r="25" spans="1:9" x14ac:dyDescent="0.35">
      <c r="A25" t="s">
        <v>60</v>
      </c>
      <c r="B25" t="str">
        <f t="shared" si="0"/>
        <v>Pending</v>
      </c>
      <c r="C25" s="2">
        <v>45876</v>
      </c>
      <c r="G25" t="s">
        <v>57</v>
      </c>
    </row>
    <row r="26" spans="1:9" x14ac:dyDescent="0.35">
      <c r="A26" t="s">
        <v>61</v>
      </c>
      <c r="B26" t="str">
        <f t="shared" si="0"/>
        <v>Pending</v>
      </c>
      <c r="C26" s="2">
        <v>45876</v>
      </c>
      <c r="G26" t="s">
        <v>57</v>
      </c>
    </row>
    <row r="27" spans="1:9" x14ac:dyDescent="0.35">
      <c r="A27" t="s">
        <v>62</v>
      </c>
      <c r="B27" t="str">
        <f t="shared" si="0"/>
        <v>Pending</v>
      </c>
      <c r="C27" s="2">
        <v>45876</v>
      </c>
      <c r="G27" t="s">
        <v>57</v>
      </c>
    </row>
    <row r="28" spans="1:9" x14ac:dyDescent="0.35">
      <c r="A28" t="s">
        <v>63</v>
      </c>
      <c r="B28" t="str">
        <f t="shared" si="0"/>
        <v>Pending</v>
      </c>
      <c r="C28" s="2">
        <v>45876</v>
      </c>
      <c r="G28" t="s">
        <v>57</v>
      </c>
    </row>
    <row r="29" spans="1:9" x14ac:dyDescent="0.35">
      <c r="A29" t="s">
        <v>64</v>
      </c>
      <c r="B29" t="str">
        <f t="shared" si="0"/>
        <v>Pending</v>
      </c>
      <c r="C29" s="2">
        <v>45876</v>
      </c>
      <c r="G29" t="s">
        <v>57</v>
      </c>
    </row>
    <row r="30" spans="1:9" x14ac:dyDescent="0.35">
      <c r="A30" t="s">
        <v>65</v>
      </c>
      <c r="B30" t="str">
        <f t="shared" si="0"/>
        <v>Pending</v>
      </c>
      <c r="C30" s="2">
        <v>45876</v>
      </c>
      <c r="G30" t="s">
        <v>59</v>
      </c>
    </row>
    <row r="31" spans="1:9" x14ac:dyDescent="0.35">
      <c r="A31" t="s">
        <v>66</v>
      </c>
      <c r="B31" t="str">
        <f t="shared" si="0"/>
        <v>Pending</v>
      </c>
      <c r="C31" s="2">
        <v>45876</v>
      </c>
      <c r="G31" t="s">
        <v>55</v>
      </c>
    </row>
    <row r="32" spans="1:9" x14ac:dyDescent="0.35">
      <c r="A32" t="s">
        <v>67</v>
      </c>
      <c r="B32" t="str">
        <f t="shared" si="0"/>
        <v>Pending</v>
      </c>
      <c r="C32" s="2">
        <v>45876</v>
      </c>
      <c r="G32" t="s">
        <v>55</v>
      </c>
    </row>
    <row r="33" spans="1:7" x14ac:dyDescent="0.35">
      <c r="A33" t="s">
        <v>68</v>
      </c>
      <c r="B33" t="str">
        <f t="shared" si="0"/>
        <v>Pending</v>
      </c>
      <c r="C33" s="2">
        <v>45876</v>
      </c>
      <c r="G33" t="s">
        <v>59</v>
      </c>
    </row>
    <row r="34" spans="1:7" x14ac:dyDescent="0.35">
      <c r="A34" t="s">
        <v>69</v>
      </c>
      <c r="B34" t="str">
        <f t="shared" ref="B34:B65" si="1">IF(NOT(ISBLANK(E34)),"Complete",IF(NOT(ISBLANK(D34)),"Active","Pending"))</f>
        <v>Pending</v>
      </c>
      <c r="C34" s="2">
        <v>45876</v>
      </c>
      <c r="G34" t="s">
        <v>55</v>
      </c>
    </row>
    <row r="35" spans="1:7" x14ac:dyDescent="0.35">
      <c r="A35" t="s">
        <v>70</v>
      </c>
      <c r="B35" t="str">
        <f t="shared" si="1"/>
        <v>Pending</v>
      </c>
      <c r="C35" s="2">
        <v>45876</v>
      </c>
      <c r="G35" t="s">
        <v>59</v>
      </c>
    </row>
    <row r="36" spans="1:7" x14ac:dyDescent="0.35">
      <c r="A36" t="s">
        <v>71</v>
      </c>
      <c r="B36" t="str">
        <f t="shared" si="1"/>
        <v>Pending</v>
      </c>
      <c r="C36" s="2">
        <v>45876</v>
      </c>
      <c r="F36" t="s">
        <v>72</v>
      </c>
    </row>
    <row r="37" spans="1:7" x14ac:dyDescent="0.35">
      <c r="A37" t="s">
        <v>73</v>
      </c>
      <c r="B37" t="str">
        <f t="shared" si="1"/>
        <v>Pending</v>
      </c>
      <c r="C37" s="2">
        <v>45876</v>
      </c>
      <c r="G37" t="s">
        <v>59</v>
      </c>
    </row>
    <row r="38" spans="1:7" x14ac:dyDescent="0.35">
      <c r="A38" t="s">
        <v>74</v>
      </c>
      <c r="B38" t="str">
        <f t="shared" si="1"/>
        <v>Pending</v>
      </c>
      <c r="C38" s="2">
        <v>45876</v>
      </c>
      <c r="G38" t="s">
        <v>59</v>
      </c>
    </row>
    <row r="39" spans="1:7" x14ac:dyDescent="0.35">
      <c r="A39" t="s">
        <v>75</v>
      </c>
      <c r="B39" t="str">
        <f t="shared" si="1"/>
        <v>Pending</v>
      </c>
      <c r="C39" s="2">
        <v>45876</v>
      </c>
      <c r="G39" t="s">
        <v>59</v>
      </c>
    </row>
    <row r="40" spans="1:7" x14ac:dyDescent="0.35">
      <c r="A40" t="s">
        <v>76</v>
      </c>
      <c r="B40" t="str">
        <f t="shared" si="1"/>
        <v>Pending</v>
      </c>
      <c r="C40" s="2">
        <v>45876</v>
      </c>
      <c r="G40" t="s">
        <v>59</v>
      </c>
    </row>
    <row r="41" spans="1:7" x14ac:dyDescent="0.35">
      <c r="A41" t="s">
        <v>77</v>
      </c>
      <c r="B41" t="str">
        <f t="shared" si="1"/>
        <v>Pending</v>
      </c>
      <c r="C41" s="2">
        <v>45876</v>
      </c>
      <c r="F41" t="s">
        <v>78</v>
      </c>
    </row>
    <row r="42" spans="1:7" x14ac:dyDescent="0.35">
      <c r="A42" t="s">
        <v>79</v>
      </c>
      <c r="B42" t="str">
        <f t="shared" si="1"/>
        <v>Pending</v>
      </c>
      <c r="C42" s="2">
        <v>45876</v>
      </c>
      <c r="F42" t="s">
        <v>80</v>
      </c>
      <c r="G42" t="s">
        <v>59</v>
      </c>
    </row>
    <row r="43" spans="1:7" x14ac:dyDescent="0.35">
      <c r="A43" t="s">
        <v>79</v>
      </c>
      <c r="B43" t="str">
        <f t="shared" si="1"/>
        <v>Pending</v>
      </c>
      <c r="C43" s="2">
        <v>45876</v>
      </c>
      <c r="F43" t="s">
        <v>81</v>
      </c>
      <c r="G43" t="s">
        <v>59</v>
      </c>
    </row>
    <row r="44" spans="1:7" x14ac:dyDescent="0.35">
      <c r="A44" t="s">
        <v>79</v>
      </c>
      <c r="B44" t="str">
        <f t="shared" si="1"/>
        <v>Pending</v>
      </c>
      <c r="C44" s="2">
        <v>45876</v>
      </c>
      <c r="F44" t="s">
        <v>82</v>
      </c>
      <c r="G44" t="s">
        <v>59</v>
      </c>
    </row>
    <row r="45" spans="1:7" x14ac:dyDescent="0.35">
      <c r="A45" t="s">
        <v>83</v>
      </c>
      <c r="B45" t="str">
        <f t="shared" si="1"/>
        <v>Pending</v>
      </c>
      <c r="C45" s="2">
        <v>45876</v>
      </c>
      <c r="G45" t="s">
        <v>59</v>
      </c>
    </row>
    <row r="46" spans="1:7" x14ac:dyDescent="0.35">
      <c r="A46" t="s">
        <v>84</v>
      </c>
      <c r="B46" t="str">
        <f t="shared" si="1"/>
        <v>Pending</v>
      </c>
      <c r="C46" s="2">
        <v>45876</v>
      </c>
      <c r="G46" t="s">
        <v>59</v>
      </c>
    </row>
    <row r="47" spans="1:7" x14ac:dyDescent="0.35">
      <c r="A47" t="s">
        <v>85</v>
      </c>
      <c r="B47" t="str">
        <f t="shared" si="1"/>
        <v>Pending</v>
      </c>
      <c r="C47" s="2">
        <v>45876</v>
      </c>
      <c r="G47" t="s">
        <v>59</v>
      </c>
    </row>
    <row r="48" spans="1:7" x14ac:dyDescent="0.35">
      <c r="A48" t="s">
        <v>86</v>
      </c>
      <c r="B48" t="str">
        <f t="shared" si="1"/>
        <v>Pending</v>
      </c>
      <c r="C48" s="2">
        <v>45876</v>
      </c>
      <c r="G48" t="s">
        <v>59</v>
      </c>
    </row>
    <row r="49" spans="1:7" x14ac:dyDescent="0.35">
      <c r="A49" t="s">
        <v>87</v>
      </c>
      <c r="B49" t="str">
        <f t="shared" si="1"/>
        <v>Pending</v>
      </c>
      <c r="C49" s="2">
        <v>45876</v>
      </c>
      <c r="G49" t="s">
        <v>59</v>
      </c>
    </row>
    <row r="50" spans="1:7" x14ac:dyDescent="0.35">
      <c r="A50" t="s">
        <v>88</v>
      </c>
      <c r="B50" t="str">
        <f t="shared" si="1"/>
        <v>Pending</v>
      </c>
      <c r="C50" s="2">
        <v>45876</v>
      </c>
      <c r="G50" t="s">
        <v>59</v>
      </c>
    </row>
    <row r="51" spans="1:7" x14ac:dyDescent="0.35">
      <c r="A51" t="s">
        <v>89</v>
      </c>
      <c r="B51" t="str">
        <f t="shared" si="1"/>
        <v>Pending</v>
      </c>
      <c r="C51" s="2">
        <v>45876</v>
      </c>
      <c r="G51" t="s">
        <v>59</v>
      </c>
    </row>
    <row r="52" spans="1:7" x14ac:dyDescent="0.35">
      <c r="A52" t="s">
        <v>90</v>
      </c>
      <c r="B52" t="str">
        <f t="shared" si="1"/>
        <v>Pending</v>
      </c>
      <c r="C52" s="2">
        <v>45876</v>
      </c>
      <c r="G52" t="s">
        <v>59</v>
      </c>
    </row>
    <row r="53" spans="1:7" x14ac:dyDescent="0.35">
      <c r="A53" t="s">
        <v>91</v>
      </c>
      <c r="B53" t="str">
        <f t="shared" si="1"/>
        <v>Pending</v>
      </c>
      <c r="C53" s="2">
        <v>45876</v>
      </c>
      <c r="G53" t="s">
        <v>59</v>
      </c>
    </row>
    <row r="54" spans="1:7" x14ac:dyDescent="0.35">
      <c r="A54" t="s">
        <v>92</v>
      </c>
      <c r="B54" t="str">
        <f t="shared" si="1"/>
        <v>Pending</v>
      </c>
      <c r="C54" s="2">
        <v>45876</v>
      </c>
      <c r="G54" t="s">
        <v>59</v>
      </c>
    </row>
    <row r="55" spans="1:7" x14ac:dyDescent="0.35">
      <c r="A55" t="s">
        <v>93</v>
      </c>
      <c r="B55" t="str">
        <f t="shared" si="1"/>
        <v>Pending</v>
      </c>
      <c r="C55" s="2">
        <v>45876</v>
      </c>
      <c r="G55" t="s">
        <v>59</v>
      </c>
    </row>
    <row r="56" spans="1:7" x14ac:dyDescent="0.35">
      <c r="A56" t="s">
        <v>94</v>
      </c>
      <c r="B56" t="str">
        <f t="shared" si="1"/>
        <v>Pending</v>
      </c>
      <c r="C56" s="2">
        <v>45876</v>
      </c>
      <c r="G56" t="s">
        <v>59</v>
      </c>
    </row>
    <row r="57" spans="1:7" x14ac:dyDescent="0.35">
      <c r="A57" t="s">
        <v>95</v>
      </c>
      <c r="B57" t="str">
        <f t="shared" si="1"/>
        <v>Pending</v>
      </c>
      <c r="C57" s="2">
        <v>45876</v>
      </c>
      <c r="G57" t="s">
        <v>59</v>
      </c>
    </row>
    <row r="58" spans="1:7" x14ac:dyDescent="0.35">
      <c r="A58" t="s">
        <v>96</v>
      </c>
      <c r="B58" t="str">
        <f t="shared" si="1"/>
        <v>Pending</v>
      </c>
      <c r="C58" s="2">
        <v>45876</v>
      </c>
      <c r="G58" t="s">
        <v>59</v>
      </c>
    </row>
    <row r="59" spans="1:7" x14ac:dyDescent="0.35">
      <c r="A59" t="s">
        <v>97</v>
      </c>
      <c r="B59" t="str">
        <f t="shared" si="1"/>
        <v>Pending</v>
      </c>
      <c r="C59" s="2">
        <v>45876</v>
      </c>
      <c r="G59" t="s">
        <v>59</v>
      </c>
    </row>
    <row r="60" spans="1:7" x14ac:dyDescent="0.35">
      <c r="A60" t="s">
        <v>98</v>
      </c>
      <c r="B60" t="str">
        <f t="shared" si="1"/>
        <v>Pending</v>
      </c>
      <c r="C60" s="2">
        <v>45876</v>
      </c>
      <c r="G60" t="s">
        <v>59</v>
      </c>
    </row>
    <row r="61" spans="1:7" x14ac:dyDescent="0.35">
      <c r="A61" t="s">
        <v>99</v>
      </c>
      <c r="B61" t="str">
        <f t="shared" si="1"/>
        <v>Pending</v>
      </c>
      <c r="C61" s="2">
        <v>45876</v>
      </c>
      <c r="G61" t="s">
        <v>59</v>
      </c>
    </row>
    <row r="62" spans="1:7" x14ac:dyDescent="0.35">
      <c r="A62" t="s">
        <v>100</v>
      </c>
      <c r="B62" t="str">
        <f t="shared" si="1"/>
        <v>Pending</v>
      </c>
      <c r="C62" s="2">
        <v>45876</v>
      </c>
      <c r="G62" t="s">
        <v>59</v>
      </c>
    </row>
    <row r="63" spans="1:7" x14ac:dyDescent="0.35">
      <c r="A63" t="s">
        <v>101</v>
      </c>
      <c r="B63" t="str">
        <f t="shared" si="1"/>
        <v>Pending</v>
      </c>
      <c r="C63" s="2">
        <v>45876</v>
      </c>
      <c r="G63" t="s">
        <v>59</v>
      </c>
    </row>
    <row r="64" spans="1:7" x14ac:dyDescent="0.35">
      <c r="A64" t="s">
        <v>102</v>
      </c>
      <c r="B64" t="str">
        <f t="shared" si="1"/>
        <v>Pending</v>
      </c>
      <c r="C64" s="2">
        <v>45876</v>
      </c>
      <c r="G64" t="s">
        <v>59</v>
      </c>
    </row>
    <row r="65" spans="1:7" x14ac:dyDescent="0.35">
      <c r="A65" t="s">
        <v>103</v>
      </c>
      <c r="B65" t="str">
        <f t="shared" si="1"/>
        <v>Pending</v>
      </c>
      <c r="C65" s="2">
        <v>45876</v>
      </c>
      <c r="G65" t="s">
        <v>59</v>
      </c>
    </row>
    <row r="66" spans="1:7" x14ac:dyDescent="0.35">
      <c r="A66" t="s">
        <v>104</v>
      </c>
      <c r="B66" t="str">
        <f t="shared" ref="B66:B83" si="2">IF(NOT(ISBLANK(E66)),"Complete",IF(NOT(ISBLANK(D66)),"Active","Pending"))</f>
        <v>Pending</v>
      </c>
      <c r="C66" s="2">
        <v>45876</v>
      </c>
      <c r="G66" t="s">
        <v>59</v>
      </c>
    </row>
    <row r="67" spans="1:7" x14ac:dyDescent="0.35">
      <c r="A67" t="s">
        <v>105</v>
      </c>
      <c r="B67" t="str">
        <f t="shared" si="2"/>
        <v>Pending</v>
      </c>
      <c r="C67" s="2">
        <v>45876</v>
      </c>
      <c r="G67" t="s">
        <v>59</v>
      </c>
    </row>
    <row r="68" spans="1:7" x14ac:dyDescent="0.35">
      <c r="A68" t="s">
        <v>106</v>
      </c>
      <c r="B68" t="str">
        <f t="shared" si="2"/>
        <v>Pending</v>
      </c>
      <c r="C68" s="2">
        <v>45876</v>
      </c>
      <c r="G68" t="s">
        <v>59</v>
      </c>
    </row>
    <row r="69" spans="1:7" x14ac:dyDescent="0.35">
      <c r="A69" t="s">
        <v>107</v>
      </c>
      <c r="B69" t="str">
        <f t="shared" si="2"/>
        <v>Pending</v>
      </c>
      <c r="C69" s="2">
        <v>45876</v>
      </c>
      <c r="G69" t="s">
        <v>59</v>
      </c>
    </row>
    <row r="70" spans="1:7" x14ac:dyDescent="0.35">
      <c r="A70" t="s">
        <v>108</v>
      </c>
      <c r="B70" t="str">
        <f t="shared" si="2"/>
        <v>Pending</v>
      </c>
      <c r="C70" s="2">
        <v>45876</v>
      </c>
      <c r="G70" t="s">
        <v>59</v>
      </c>
    </row>
    <row r="71" spans="1:7" x14ac:dyDescent="0.35">
      <c r="A71" t="s">
        <v>109</v>
      </c>
      <c r="B71" t="str">
        <f t="shared" si="2"/>
        <v>Pending</v>
      </c>
      <c r="C71" s="2">
        <v>45876</v>
      </c>
      <c r="G71" t="s">
        <v>59</v>
      </c>
    </row>
    <row r="72" spans="1:7" x14ac:dyDescent="0.35">
      <c r="A72" t="s">
        <v>110</v>
      </c>
      <c r="B72" t="str">
        <f t="shared" si="2"/>
        <v>Pending</v>
      </c>
      <c r="C72" s="2">
        <v>45876</v>
      </c>
      <c r="G72" t="s">
        <v>59</v>
      </c>
    </row>
    <row r="73" spans="1:7" x14ac:dyDescent="0.35">
      <c r="A73" t="s">
        <v>111</v>
      </c>
      <c r="B73" t="str">
        <f t="shared" si="2"/>
        <v>Pending</v>
      </c>
      <c r="C73" s="2">
        <v>45876</v>
      </c>
      <c r="G73" t="s">
        <v>59</v>
      </c>
    </row>
    <row r="74" spans="1:7" x14ac:dyDescent="0.35">
      <c r="A74" t="s">
        <v>112</v>
      </c>
      <c r="B74" t="str">
        <f t="shared" si="2"/>
        <v>Pending</v>
      </c>
      <c r="C74" s="2">
        <v>45876</v>
      </c>
      <c r="F74" t="s">
        <v>113</v>
      </c>
      <c r="G74" t="s">
        <v>59</v>
      </c>
    </row>
    <row r="75" spans="1:7" x14ac:dyDescent="0.35">
      <c r="A75" t="s">
        <v>114</v>
      </c>
      <c r="B75" t="str">
        <f t="shared" si="2"/>
        <v>Pending</v>
      </c>
      <c r="C75" s="2">
        <v>45876</v>
      </c>
      <c r="G75" t="s">
        <v>59</v>
      </c>
    </row>
    <row r="76" spans="1:7" x14ac:dyDescent="0.35">
      <c r="A76" t="s">
        <v>115</v>
      </c>
      <c r="B76" t="str">
        <f t="shared" si="2"/>
        <v>Pending</v>
      </c>
      <c r="C76" s="2">
        <v>45876</v>
      </c>
      <c r="G76" t="s">
        <v>59</v>
      </c>
    </row>
    <row r="77" spans="1:7" x14ac:dyDescent="0.35">
      <c r="A77" t="s">
        <v>116</v>
      </c>
      <c r="B77" t="str">
        <f t="shared" si="2"/>
        <v>Pending</v>
      </c>
      <c r="C77" s="2">
        <v>45876</v>
      </c>
      <c r="G77" t="s">
        <v>59</v>
      </c>
    </row>
    <row r="78" spans="1:7" x14ac:dyDescent="0.35">
      <c r="A78" t="s">
        <v>117</v>
      </c>
      <c r="B78" t="str">
        <f t="shared" si="2"/>
        <v>Pending</v>
      </c>
      <c r="C78" s="2">
        <v>45876</v>
      </c>
      <c r="G78" t="s">
        <v>59</v>
      </c>
    </row>
    <row r="79" spans="1:7" x14ac:dyDescent="0.35">
      <c r="A79" t="s">
        <v>118</v>
      </c>
      <c r="B79" t="str">
        <f t="shared" si="2"/>
        <v>Pending</v>
      </c>
      <c r="C79" s="2">
        <v>45876</v>
      </c>
      <c r="G79" t="s">
        <v>59</v>
      </c>
    </row>
    <row r="80" spans="1:7" x14ac:dyDescent="0.35">
      <c r="A80" t="s">
        <v>119</v>
      </c>
      <c r="B80" t="str">
        <f t="shared" si="2"/>
        <v>Pending</v>
      </c>
      <c r="C80" s="2">
        <v>45876</v>
      </c>
      <c r="G80" t="s">
        <v>59</v>
      </c>
    </row>
    <row r="81" spans="1:7" x14ac:dyDescent="0.35">
      <c r="A81" t="s">
        <v>120</v>
      </c>
      <c r="B81" t="str">
        <f t="shared" si="2"/>
        <v>Pending</v>
      </c>
      <c r="C81" s="2">
        <v>45876</v>
      </c>
      <c r="G81" t="s">
        <v>59</v>
      </c>
    </row>
    <row r="82" spans="1:7" x14ac:dyDescent="0.35">
      <c r="A82" t="s">
        <v>121</v>
      </c>
      <c r="B82" t="str">
        <f t="shared" si="2"/>
        <v>Pending</v>
      </c>
      <c r="C82" s="2">
        <v>45876</v>
      </c>
      <c r="G82" t="s">
        <v>59</v>
      </c>
    </row>
    <row r="83" spans="1:7" x14ac:dyDescent="0.35">
      <c r="A83" t="s">
        <v>122</v>
      </c>
      <c r="B83" t="str">
        <f t="shared" si="2"/>
        <v>Pending</v>
      </c>
      <c r="C83" s="2">
        <v>45876</v>
      </c>
      <c r="G83" t="s">
        <v>59</v>
      </c>
    </row>
  </sheetData>
  <conditionalFormatting sqref="A2:I83">
    <cfRule type="expression" dxfId="1" priority="1">
      <formula>NOT(ISBLANK($E2))</formula>
    </cfRule>
    <cfRule type="expression" dxfId="0" priority="2">
      <formula>AND(ISBLANK($E2),NOT(ISBLANK($D2)))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Task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Miller</cp:lastModifiedBy>
  <dcterms:created xsi:type="dcterms:W3CDTF">2025-08-10T21:01:24Z</dcterms:created>
  <dcterms:modified xsi:type="dcterms:W3CDTF">2025-08-10T22:58:04Z</dcterms:modified>
</cp:coreProperties>
</file>